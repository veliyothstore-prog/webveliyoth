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scritorio\catalogo\laptops\"/>
    </mc:Choice>
  </mc:AlternateContent>
  <xr:revisionPtr revIDLastSave="0" documentId="13_ncr:1_{3D00D9AF-8E3A-4EF8-81B0-E4EB8FB145D5}" xr6:coauthVersionLast="47" xr6:coauthVersionMax="47" xr10:uidLastSave="{00000000-0000-0000-0000-000000000000}"/>
  <bookViews>
    <workbookView xWindow="-120" yWindow="-120" windowWidth="29040" windowHeight="15720" xr2:uid="{14B58300-144F-49F6-B5C6-5F1D5C868F63}"/>
  </bookViews>
  <sheets>
    <sheet name="Hoja1" sheetId="1" r:id="rId1"/>
  </sheets>
  <definedNames>
    <definedName name="_xlnm._FilterDatabase" localSheetId="0" hidden="1">Hoja1!$A$1:$J$20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11" i="1"/>
  <c r="I10" i="1"/>
  <c r="I8" i="1"/>
  <c r="I9" i="1"/>
  <c r="I12" i="1"/>
  <c r="I13" i="1"/>
  <c r="I14" i="1"/>
  <c r="I15" i="1"/>
  <c r="I7" i="1"/>
  <c r="I6" i="1"/>
  <c r="I3" i="1"/>
  <c r="I4" i="1"/>
  <c r="I5" i="1"/>
  <c r="I2" i="1"/>
</calcChain>
</file>

<file path=xl/sharedStrings.xml><?xml version="1.0" encoding="utf-8"?>
<sst xmlns="http://schemas.openxmlformats.org/spreadsheetml/2006/main" count="182" uniqueCount="67">
  <si>
    <t>MARCA</t>
  </si>
  <si>
    <t>GRAFICA</t>
  </si>
  <si>
    <t>PROCESADOR</t>
  </si>
  <si>
    <t>RAM</t>
  </si>
  <si>
    <t>SSD</t>
  </si>
  <si>
    <t>HP</t>
  </si>
  <si>
    <t>IRIS</t>
  </si>
  <si>
    <t>GEN</t>
  </si>
  <si>
    <t>I3</t>
  </si>
  <si>
    <t>I5</t>
  </si>
  <si>
    <t>12v</t>
  </si>
  <si>
    <t>8 GB</t>
  </si>
  <si>
    <t>16 GB</t>
  </si>
  <si>
    <t>256 GB</t>
  </si>
  <si>
    <t>512 GB</t>
  </si>
  <si>
    <t>COD</t>
  </si>
  <si>
    <t>0125-S</t>
  </si>
  <si>
    <t>0126-S</t>
  </si>
  <si>
    <t>0127-S</t>
  </si>
  <si>
    <t>0128-S</t>
  </si>
  <si>
    <t>PRECIO IMPORT</t>
  </si>
  <si>
    <t>PRECIO VENTA</t>
  </si>
  <si>
    <t>LENOVO</t>
  </si>
  <si>
    <t>13V</t>
  </si>
  <si>
    <t>I7</t>
  </si>
  <si>
    <t>NVIDIA</t>
  </si>
  <si>
    <t>1TB</t>
  </si>
  <si>
    <t>0104-S</t>
  </si>
  <si>
    <t>0108-S</t>
  </si>
  <si>
    <t>0109-S</t>
  </si>
  <si>
    <t>0114-S</t>
  </si>
  <si>
    <t>0115-S</t>
  </si>
  <si>
    <t>0116-S</t>
  </si>
  <si>
    <t>ASUS</t>
  </si>
  <si>
    <t>0160-S</t>
  </si>
  <si>
    <t>0154-S</t>
  </si>
  <si>
    <t>0149-S</t>
  </si>
  <si>
    <t>0148-S</t>
  </si>
  <si>
    <t>G0005-S</t>
  </si>
  <si>
    <t>G0006-S</t>
  </si>
  <si>
    <t>G0007-S</t>
  </si>
  <si>
    <t>G0008-S</t>
  </si>
  <si>
    <t>G0009-S</t>
  </si>
  <si>
    <t>\imagenes\asus 60.png</t>
  </si>
  <si>
    <t>\imagenes\asus 54.png</t>
  </si>
  <si>
    <t>\imagenes\asus 49.png</t>
  </si>
  <si>
    <t>\imagenes\asus 48.png</t>
  </si>
  <si>
    <t>\imagenes\asus g5.png</t>
  </si>
  <si>
    <t>\imagenes\asus g6.png</t>
  </si>
  <si>
    <t>\imagenes\asus g7.png</t>
  </si>
  <si>
    <t>RUTA</t>
  </si>
  <si>
    <t>\imagenes\asus g8.png</t>
  </si>
  <si>
    <t>\imagenes\asus g9.png</t>
  </si>
  <si>
    <t>\imagenes\lenovo 14.png</t>
  </si>
  <si>
    <t>\imagenes\lenovo 15.png</t>
  </si>
  <si>
    <t>\imagenes\lenovo 16.png</t>
  </si>
  <si>
    <t>ECONOMICA</t>
  </si>
  <si>
    <t>ALTA</t>
  </si>
  <si>
    <t>\imagenes\hp 25.png</t>
  </si>
  <si>
    <t>\imagenes\hp 26.png</t>
  </si>
  <si>
    <t>\imagenes\hp 27.png</t>
  </si>
  <si>
    <t>\imagenes\hp 28.png</t>
  </si>
  <si>
    <t>\imagenes\lenovo 04.png</t>
  </si>
  <si>
    <t>\imagenes\lenovo 08.png</t>
  </si>
  <si>
    <t>\imagenes\lenovo 09.png</t>
  </si>
  <si>
    <t>MEDIO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</si>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</sst>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&quot;S/&quot;\ * #,##0.0_-;\-&quot;S/&quot;\ * #,##0.0_-;_-&quot;S/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 applyAlignment="1">
      <alignment horizontal="center"/>
    </xf>
    <xf numFmtId="0" fontId="0" fillId="2" borderId="0" xfId="0" applyFill="1"/>
    <xf numFmtId="44" fontId="0" fillId="2" borderId="0" xfId="0" applyNumberFormat="1" applyFill="1"/>
    <xf numFmtId="0" fontId="0" fillId="3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621D-1529-4E2E-B77C-3411FB95E27C}">
  <dimension ref="A1:K21"/>
  <sheetViews>
    <sheetView tabSelected="1" zoomScale="130" zoomScaleNormal="130" workbookViewId="0">
      <selection activeCell="A12" sqref="A12:XFD12"/>
    </sheetView>
  </sheetViews>
  <sheetFormatPr baseColWidth="10" defaultRowHeight="15" x14ac:dyDescent="0.25"/>
  <cols>
    <col min="8" max="8" width="16.5703125" customWidth="1"/>
    <col min="9" max="9" width="15.42578125" customWidth="1"/>
    <col min="10" max="10" width="23.42578125" bestFit="1" customWidth="1"/>
  </cols>
  <sheetData>
    <row r="1" spans="1:11" x14ac:dyDescent="0.25">
      <c r="A1" s="2" t="s">
        <v>15</v>
      </c>
      <c r="B1" t="s">
        <v>0</v>
      </c>
      <c r="C1" t="s">
        <v>1</v>
      </c>
      <c r="D1" t="s">
        <v>2</v>
      </c>
      <c r="E1" t="s">
        <v>7</v>
      </c>
      <c r="F1" t="s">
        <v>3</v>
      </c>
      <c r="G1" t="s">
        <v>4</v>
      </c>
      <c r="H1" s="1" t="s">
        <v>20</v>
      </c>
      <c r="I1" s="2" t="s">
        <v>21</v>
      </c>
      <c r="J1" t="s">
        <v>50</v>
      </c>
      <c r="K1" t="s">
        <v>66</v>
      </c>
    </row>
    <row r="2" spans="1:11" x14ac:dyDescent="0.25">
      <c r="A2" s="2" t="s">
        <v>16</v>
      </c>
      <c r="B2" t="s">
        <v>5</v>
      </c>
      <c r="C2" t="s">
        <v>6</v>
      </c>
      <c r="D2" t="s">
        <v>8</v>
      </c>
      <c r="E2" t="s">
        <v>10</v>
      </c>
      <c r="F2" t="s">
        <v>11</v>
      </c>
      <c r="G2" t="s">
        <v>13</v>
      </c>
      <c r="H2" s="1">
        <v>1099</v>
      </c>
      <c r="I2" s="3">
        <f>H2*1.2</f>
        <v>1318.8</v>
      </c>
      <c r="J2" t="s">
        <v>58</v>
      </c>
      <c r="K2" t="s">
        <v>56</v>
      </c>
    </row>
    <row r="3" spans="1:11" x14ac:dyDescent="0.25">
      <c r="A3" s="2" t="s">
        <v>17</v>
      </c>
      <c r="B3" t="s">
        <v>5</v>
      </c>
      <c r="C3" t="s">
        <v>6</v>
      </c>
      <c r="D3" t="s">
        <v>8</v>
      </c>
      <c r="E3" t="s">
        <v>10</v>
      </c>
      <c r="F3" t="s">
        <v>11</v>
      </c>
      <c r="G3" t="s">
        <v>14</v>
      </c>
      <c r="H3" s="1">
        <v>1199</v>
      </c>
      <c r="I3" s="3">
        <f t="shared" ref="I3:I5" si="0">H3*1.2</f>
        <v>1438.8</v>
      </c>
      <c r="J3" t="s">
        <v>59</v>
      </c>
      <c r="K3" t="s">
        <v>56</v>
      </c>
    </row>
    <row r="4" spans="1:11" x14ac:dyDescent="0.25">
      <c r="A4" s="2" t="s">
        <v>18</v>
      </c>
      <c r="B4" t="s">
        <v>5</v>
      </c>
      <c r="C4" t="s">
        <v>6</v>
      </c>
      <c r="D4" t="s">
        <v>9</v>
      </c>
      <c r="E4" t="s">
        <v>10</v>
      </c>
      <c r="F4" t="s">
        <v>11</v>
      </c>
      <c r="G4" t="s">
        <v>14</v>
      </c>
      <c r="H4" s="1">
        <v>1399</v>
      </c>
      <c r="I4" s="3">
        <f t="shared" si="0"/>
        <v>1678.8</v>
      </c>
      <c r="J4" t="s">
        <v>60</v>
      </c>
      <c r="K4" t="s">
        <v>65</v>
      </c>
    </row>
    <row r="5" spans="1:11" x14ac:dyDescent="0.25">
      <c r="A5" s="2" t="s">
        <v>19</v>
      </c>
      <c r="B5" t="s">
        <v>5</v>
      </c>
      <c r="C5" t="s">
        <v>6</v>
      </c>
      <c r="D5" t="s">
        <v>9</v>
      </c>
      <c r="E5" t="s">
        <v>10</v>
      </c>
      <c r="F5" t="s">
        <v>12</v>
      </c>
      <c r="G5" t="s">
        <v>14</v>
      </c>
      <c r="H5" s="1">
        <v>1549</v>
      </c>
      <c r="I5" s="3">
        <f t="shared" si="0"/>
        <v>1858.8</v>
      </c>
      <c r="J5" t="s">
        <v>61</v>
      </c>
      <c r="K5" t="s">
        <v>65</v>
      </c>
    </row>
    <row r="6" spans="1:11" x14ac:dyDescent="0.25">
      <c r="A6" s="2" t="s">
        <v>27</v>
      </c>
      <c r="B6" t="s">
        <v>22</v>
      </c>
      <c r="C6" t="s">
        <v>6</v>
      </c>
      <c r="D6" t="s">
        <v>8</v>
      </c>
      <c r="E6" t="s">
        <v>10</v>
      </c>
      <c r="F6" t="s">
        <v>11</v>
      </c>
      <c r="G6" t="s">
        <v>13</v>
      </c>
      <c r="H6" s="1">
        <v>1099</v>
      </c>
      <c r="I6" s="3">
        <f>H6*1.15</f>
        <v>1263.8499999999999</v>
      </c>
      <c r="J6" t="s">
        <v>62</v>
      </c>
      <c r="K6" t="s">
        <v>56</v>
      </c>
    </row>
    <row r="7" spans="1:11" x14ac:dyDescent="0.25">
      <c r="A7" s="2" t="s">
        <v>28</v>
      </c>
      <c r="B7" t="s">
        <v>22</v>
      </c>
      <c r="C7" t="s">
        <v>6</v>
      </c>
      <c r="D7" t="s">
        <v>9</v>
      </c>
      <c r="E7" t="s">
        <v>23</v>
      </c>
      <c r="F7" t="s">
        <v>11</v>
      </c>
      <c r="G7" t="s">
        <v>14</v>
      </c>
      <c r="H7" s="1">
        <v>1499</v>
      </c>
      <c r="I7" s="3">
        <f>H7*1.15</f>
        <v>1723.85</v>
      </c>
      <c r="J7" t="s">
        <v>63</v>
      </c>
      <c r="K7" t="s">
        <v>65</v>
      </c>
    </row>
    <row r="8" spans="1:11" x14ac:dyDescent="0.25">
      <c r="A8" s="2" t="s">
        <v>29</v>
      </c>
      <c r="B8" t="s">
        <v>22</v>
      </c>
      <c r="C8" t="s">
        <v>6</v>
      </c>
      <c r="D8" t="s">
        <v>9</v>
      </c>
      <c r="E8" t="s">
        <v>23</v>
      </c>
      <c r="F8" t="s">
        <v>12</v>
      </c>
      <c r="G8" t="s">
        <v>14</v>
      </c>
      <c r="H8" s="1">
        <v>1649</v>
      </c>
      <c r="I8" s="3">
        <f t="shared" ref="I8:I20" si="1">H8*1.15</f>
        <v>1896.35</v>
      </c>
      <c r="J8" t="s">
        <v>64</v>
      </c>
      <c r="K8" t="s">
        <v>65</v>
      </c>
    </row>
    <row r="9" spans="1:11" x14ac:dyDescent="0.25">
      <c r="A9" s="2" t="s">
        <v>30</v>
      </c>
      <c r="B9" t="s">
        <v>22</v>
      </c>
      <c r="C9" t="s">
        <v>6</v>
      </c>
      <c r="D9" t="s">
        <v>24</v>
      </c>
      <c r="E9" t="s">
        <v>10</v>
      </c>
      <c r="F9" t="s">
        <v>12</v>
      </c>
      <c r="G9" t="s">
        <v>14</v>
      </c>
      <c r="H9" s="1">
        <v>1949</v>
      </c>
      <c r="I9" s="3">
        <f t="shared" si="1"/>
        <v>2241.35</v>
      </c>
      <c r="J9" t="s">
        <v>53</v>
      </c>
      <c r="K9" t="s">
        <v>57</v>
      </c>
    </row>
    <row r="10" spans="1:11" x14ac:dyDescent="0.25">
      <c r="A10" s="2" t="s">
        <v>31</v>
      </c>
      <c r="B10" t="s">
        <v>22</v>
      </c>
      <c r="C10" t="s">
        <v>25</v>
      </c>
      <c r="D10" t="s">
        <v>24</v>
      </c>
      <c r="E10" t="s">
        <v>10</v>
      </c>
      <c r="F10" t="s">
        <v>12</v>
      </c>
      <c r="G10" t="s">
        <v>14</v>
      </c>
      <c r="H10" s="1">
        <v>1999</v>
      </c>
      <c r="I10" s="3">
        <f>H10*1.2</f>
        <v>2398.7999999999997</v>
      </c>
      <c r="J10" t="s">
        <v>54</v>
      </c>
      <c r="K10" t="s">
        <v>57</v>
      </c>
    </row>
    <row r="11" spans="1:11" x14ac:dyDescent="0.25">
      <c r="A11" s="2" t="s">
        <v>32</v>
      </c>
      <c r="B11" t="s">
        <v>22</v>
      </c>
      <c r="C11" t="s">
        <v>25</v>
      </c>
      <c r="D11" t="s">
        <v>24</v>
      </c>
      <c r="E11" t="s">
        <v>10</v>
      </c>
      <c r="F11" t="s">
        <v>12</v>
      </c>
      <c r="G11" t="s">
        <v>26</v>
      </c>
      <c r="H11" s="1">
        <v>2099</v>
      </c>
      <c r="I11" s="3">
        <f>H11*1.2</f>
        <v>2518.7999999999997</v>
      </c>
      <c r="J11" t="s">
        <v>55</v>
      </c>
      <c r="K11" t="s">
        <v>57</v>
      </c>
    </row>
    <row r="12" spans="1:11" x14ac:dyDescent="0.25">
      <c r="A12" s="2" t="s">
        <v>34</v>
      </c>
      <c r="B12" t="s">
        <v>33</v>
      </c>
      <c r="C12" t="s">
        <v>25</v>
      </c>
      <c r="D12" t="s">
        <v>24</v>
      </c>
      <c r="E12" t="s">
        <v>23</v>
      </c>
      <c r="F12" t="s">
        <v>12</v>
      </c>
      <c r="G12" t="s">
        <v>14</v>
      </c>
      <c r="H12" s="1">
        <v>2099</v>
      </c>
      <c r="I12" s="3">
        <f t="shared" si="1"/>
        <v>2413.85</v>
      </c>
      <c r="J12" t="s">
        <v>43</v>
      </c>
      <c r="K12" t="s">
        <v>57</v>
      </c>
    </row>
    <row r="13" spans="1:11" x14ac:dyDescent="0.25">
      <c r="A13" s="2" t="s">
        <v>35</v>
      </c>
      <c r="B13" t="s">
        <v>33</v>
      </c>
      <c r="C13" t="s">
        <v>25</v>
      </c>
      <c r="D13" t="s">
        <v>9</v>
      </c>
      <c r="E13" t="s">
        <v>23</v>
      </c>
      <c r="F13" t="s">
        <v>12</v>
      </c>
      <c r="G13" t="s">
        <v>14</v>
      </c>
      <c r="H13" s="1">
        <v>1699</v>
      </c>
      <c r="I13" s="3">
        <f t="shared" si="1"/>
        <v>1953.85</v>
      </c>
      <c r="J13" t="s">
        <v>44</v>
      </c>
      <c r="K13" t="s">
        <v>65</v>
      </c>
    </row>
    <row r="14" spans="1:11" x14ac:dyDescent="0.25">
      <c r="A14" s="2" t="s">
        <v>36</v>
      </c>
      <c r="B14" t="s">
        <v>33</v>
      </c>
      <c r="C14" t="s">
        <v>6</v>
      </c>
      <c r="D14" t="s">
        <v>9</v>
      </c>
      <c r="E14" t="s">
        <v>10</v>
      </c>
      <c r="F14" t="s">
        <v>11</v>
      </c>
      <c r="G14" t="s">
        <v>14</v>
      </c>
      <c r="H14" s="1">
        <v>1399</v>
      </c>
      <c r="I14" s="3">
        <f t="shared" si="1"/>
        <v>1608.85</v>
      </c>
      <c r="J14" t="s">
        <v>45</v>
      </c>
      <c r="K14" t="s">
        <v>56</v>
      </c>
    </row>
    <row r="15" spans="1:11" x14ac:dyDescent="0.25">
      <c r="A15" s="2" t="s">
        <v>37</v>
      </c>
      <c r="B15" t="s">
        <v>33</v>
      </c>
      <c r="C15" t="s">
        <v>6</v>
      </c>
      <c r="D15" t="s">
        <v>9</v>
      </c>
      <c r="E15" t="s">
        <v>23</v>
      </c>
      <c r="F15" t="s">
        <v>11</v>
      </c>
      <c r="G15" t="s">
        <v>14</v>
      </c>
      <c r="H15" s="1">
        <v>1199</v>
      </c>
      <c r="I15" s="3">
        <f t="shared" si="1"/>
        <v>1378.85</v>
      </c>
      <c r="J15" t="s">
        <v>46</v>
      </c>
      <c r="K15" t="s">
        <v>56</v>
      </c>
    </row>
    <row r="16" spans="1:11" x14ac:dyDescent="0.25">
      <c r="A16" s="4" t="s">
        <v>38</v>
      </c>
      <c r="B16" t="s">
        <v>33</v>
      </c>
      <c r="C16" t="s">
        <v>25</v>
      </c>
      <c r="D16" t="s">
        <v>9</v>
      </c>
      <c r="E16" t="s">
        <v>23</v>
      </c>
      <c r="F16" t="s">
        <v>12</v>
      </c>
      <c r="G16" t="s">
        <v>14</v>
      </c>
      <c r="H16" s="1">
        <v>2949</v>
      </c>
      <c r="I16" s="3">
        <f t="shared" si="1"/>
        <v>3391.35</v>
      </c>
      <c r="J16" t="s">
        <v>47</v>
      </c>
      <c r="K16" t="s">
        <v>57</v>
      </c>
    </row>
    <row r="17" spans="1:11" x14ac:dyDescent="0.25">
      <c r="A17" s="4" t="s">
        <v>39</v>
      </c>
      <c r="B17" t="s">
        <v>33</v>
      </c>
      <c r="C17" t="s">
        <v>25</v>
      </c>
      <c r="D17" t="s">
        <v>24</v>
      </c>
      <c r="E17" t="s">
        <v>23</v>
      </c>
      <c r="F17" t="s">
        <v>12</v>
      </c>
      <c r="G17" t="s">
        <v>14</v>
      </c>
      <c r="H17" s="1">
        <v>3249</v>
      </c>
      <c r="I17" s="3">
        <f t="shared" si="1"/>
        <v>3736.35</v>
      </c>
      <c r="J17" t="s">
        <v>48</v>
      </c>
      <c r="K17" t="s">
        <v>57</v>
      </c>
    </row>
    <row r="18" spans="1:11" x14ac:dyDescent="0.25">
      <c r="A18" s="4" t="s">
        <v>40</v>
      </c>
      <c r="B18" t="s">
        <v>33</v>
      </c>
      <c r="C18" t="s">
        <v>25</v>
      </c>
      <c r="D18" t="s">
        <v>24</v>
      </c>
      <c r="E18" t="s">
        <v>23</v>
      </c>
      <c r="F18" t="s">
        <v>12</v>
      </c>
      <c r="G18" t="s">
        <v>26</v>
      </c>
      <c r="H18" s="1">
        <v>4199</v>
      </c>
      <c r="I18" s="3">
        <f t="shared" si="1"/>
        <v>4828.8499999999995</v>
      </c>
      <c r="J18" t="s">
        <v>49</v>
      </c>
      <c r="K18" t="s">
        <v>57</v>
      </c>
    </row>
    <row r="19" spans="1:11" x14ac:dyDescent="0.25">
      <c r="A19" s="4" t="s">
        <v>41</v>
      </c>
      <c r="B19" t="s">
        <v>5</v>
      </c>
      <c r="C19" t="s">
        <v>25</v>
      </c>
      <c r="D19" t="s">
        <v>9</v>
      </c>
      <c r="E19" t="s">
        <v>10</v>
      </c>
      <c r="F19" t="s">
        <v>11</v>
      </c>
      <c r="G19" t="s">
        <v>14</v>
      </c>
      <c r="H19" s="1">
        <v>2299</v>
      </c>
      <c r="I19" s="3">
        <f t="shared" si="1"/>
        <v>2643.85</v>
      </c>
      <c r="J19" t="s">
        <v>51</v>
      </c>
      <c r="K19" t="s">
        <v>57</v>
      </c>
    </row>
    <row r="20" spans="1:11" x14ac:dyDescent="0.25">
      <c r="A20" s="4" t="s">
        <v>42</v>
      </c>
      <c r="B20" t="s">
        <v>5</v>
      </c>
      <c r="C20" t="s">
        <v>25</v>
      </c>
      <c r="D20" t="s">
        <v>24</v>
      </c>
      <c r="E20" t="s">
        <v>23</v>
      </c>
      <c r="F20" t="s">
        <v>12</v>
      </c>
      <c r="G20" t="s">
        <v>26</v>
      </c>
      <c r="H20" s="1">
        <v>3349</v>
      </c>
      <c r="I20" s="3">
        <f t="shared" si="1"/>
        <v>3851.35</v>
      </c>
      <c r="J20" t="s">
        <v>52</v>
      </c>
      <c r="K20" t="s">
        <v>57</v>
      </c>
    </row>
    <row r="21" spans="1:11" x14ac:dyDescent="0.25">
      <c r="A2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Yoliveth Zelada</dc:creator>
  <cp:lastModifiedBy>Jhoony Zelada Giron</cp:lastModifiedBy>
  <dcterms:created xsi:type="dcterms:W3CDTF">2026-05-03T00:27:38Z</dcterms:created>
  <dcterms:modified xsi:type="dcterms:W3CDTF">2026-05-07T14:37:23Z</dcterms:modified>
</cp:coreProperties>
</file>